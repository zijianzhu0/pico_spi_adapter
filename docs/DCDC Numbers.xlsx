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Zijian\Documents\KiCad\pico_spi_adapter\docs\"/>
    </mc:Choice>
  </mc:AlternateContent>
  <xr:revisionPtr revIDLastSave="0" documentId="13_ncr:1_{050EB192-B217-4A72-8AED-2939B0B903D6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 a="1"/>
  <c r="C18" i="1" s="1"/>
  <c r="C9" i="1" a="1"/>
  <c r="C9" i="1" s="1"/>
  <c r="C4" i="1" l="1" a="1"/>
  <c r="C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<sst xmlns="http://schemas.openxmlformats.org/spreadsheetml/2006/main" count="28" uniqueCount="28">
  <si>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Table 1</t>
  </si>
  <si>
    <t>CBOOT</t>
  </si>
  <si>
    <t>LO</t>
  </si>
  <si>
    <t>Inductor spec</t>
  </si>
  <si>
    <t>COUT</t>
  </si>
  <si>
    <t>D</t>
  </si>
  <si>
    <t>RC</t>
  </si>
  <si>
    <t>CC</t>
  </si>
  <si>
    <t>CSS (nF)</t>
  </si>
  <si>
    <t>Soft Start Cap (&lt;27nF)</t>
  </si>
  <si>
    <t>ROSC (kOhm)</t>
  </si>
  <si>
    <t>CIN</t>
  </si>
  <si>
    <t>T_ss (ms)</t>
  </si>
  <si>
    <t xml:space="preserve">Soft start time </t>
  </si>
  <si>
    <t>I_ss(uA)</t>
  </si>
  <si>
    <t>Soft charge current</t>
  </si>
  <si>
    <t>V_ref(V)</t>
  </si>
  <si>
    <t>Soft start reference voltage</t>
  </si>
  <si>
    <t>V_in</t>
  </si>
  <si>
    <t>Input voltage</t>
  </si>
  <si>
    <t>V_out</t>
  </si>
  <si>
    <t xml:space="preserve">Output voltage </t>
  </si>
  <si>
    <t xml:space="preserve">Fsw </t>
  </si>
  <si>
    <t>Switching frequency</t>
  </si>
  <si>
    <t>I_o</t>
  </si>
  <si>
    <t>Output current</t>
  </si>
  <si>
    <t>LIR</t>
  </si>
  <si>
    <t>Inductor p2p ripple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</si>
</sst>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Border="1">
      <alignment vertical="top" wrapText="1"/>
    </xf>
    <xf numFmtId="0" fontId="0" fillId="0" borderId="4" xfId="0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6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275832</xdr:colOff>
      <xdr:row>22</xdr:row>
      <xdr:rowOff>204605</xdr:rowOff>
    </xdr:from>
    <xdr:to>
      <xdr:col>6</xdr:col>
      <xdr:colOff>428232</xdr:colOff>
      <xdr:row>37</xdr:row>
      <xdr:rowOff>244566</xdr:rowOff>
    </xdr:to>
    <xdr:pic>
      <xdr:nvPicPr>
        <xdr:cNvPr id="2" name="pasted-movie.heic" descr="pasted-movie.hei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32" y="6517775"/>
          <a:ext cx="7620001" cy="383091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C4" sqref="C4"/>
    </sheetView>
  </sheetViews>
  <sheetFormatPr defaultColWidth="16.28515625" defaultRowHeight="19.899999999999999" customHeight="1"/>
  <cols>
    <col min="1" max="8" width="16.28515625" style="1" customWidth="1"/>
    <col min="9" max="16384" width="16.28515625" style="1"/>
  </cols>
  <sheetData>
    <row r="1" spans="1:7" ht="27.6" customHeight="1">
      <c r="A1" s="12" t="s">
        <v>0</v>
      </c>
      <c r="B1" s="12"/>
      <c r="C1" s="12"/>
      <c r="D1" s="12"/>
      <c r="E1" s="12"/>
      <c r="F1" s="12"/>
      <c r="G1" s="12"/>
    </row>
    <row r="2" spans="1:7" ht="20.25" customHeight="1">
      <c r="A2" s="2"/>
      <c r="B2" s="2"/>
      <c r="C2" s="2"/>
      <c r="D2" s="2"/>
      <c r="E2" s="2"/>
      <c r="F2" s="2"/>
      <c r="G2" s="2"/>
    </row>
    <row r="3" spans="1:7" ht="20.25" customHeight="1">
      <c r="A3" s="3" t="s">
        <v>1</v>
      </c>
      <c r="B3" s="4"/>
      <c r="C3" s="5"/>
      <c r="D3" s="5"/>
      <c r="E3" s="5"/>
      <c r="F3" s="5"/>
      <c r="G3" s="5"/>
    </row>
    <row r="4" spans="1:7" ht="20.100000000000001" customHeight="1">
      <c r="A4" s="6" t="s">
        <v>2</v>
      </c>
      <c r="B4" s="7" t="s">
        <v>3</v>
      </c>
      <c r="C4" s="8" cm="1">
        <f t="array" ref="C4">(C16-C17)*C17/(C19*C20*C16*C18)</f>
        <v>3.4670008354218879E-5</v>
      </c>
      <c r="D4" s="9"/>
      <c r="E4" s="9"/>
      <c r="F4" s="9"/>
      <c r="G4" s="9"/>
    </row>
    <row r="5" spans="1:7" ht="20.100000000000001" customHeight="1">
      <c r="A5" s="6" t="s">
        <v>4</v>
      </c>
      <c r="B5" s="10"/>
      <c r="C5" s="9"/>
      <c r="D5" s="9"/>
      <c r="E5" s="9"/>
      <c r="F5" s="9"/>
      <c r="G5" s="9"/>
    </row>
    <row r="6" spans="1:7" ht="20.100000000000001" customHeight="1">
      <c r="A6" s="6" t="s">
        <v>5</v>
      </c>
      <c r="B6" s="10"/>
      <c r="C6" s="9"/>
      <c r="D6" s="9"/>
      <c r="E6" s="9"/>
      <c r="F6" s="9"/>
      <c r="G6" s="9"/>
    </row>
    <row r="7" spans="1:7" ht="20.100000000000001" customHeight="1">
      <c r="A7" s="6" t="s">
        <v>6</v>
      </c>
      <c r="B7" s="10"/>
      <c r="C7" s="9"/>
      <c r="D7" s="9"/>
      <c r="E7" s="9"/>
      <c r="F7" s="9"/>
      <c r="G7" s="9"/>
    </row>
    <row r="8" spans="1:7" ht="20.100000000000001" customHeight="1">
      <c r="A8" s="6" t="s">
        <v>7</v>
      </c>
      <c r="B8" s="10"/>
      <c r="C8" s="9"/>
      <c r="D8" s="9"/>
      <c r="E8" s="9"/>
      <c r="F8" s="9"/>
      <c r="G8" s="9"/>
    </row>
    <row r="9" spans="1:7" ht="32.1" customHeight="1">
      <c r="A9" s="6" t="s">
        <v>8</v>
      </c>
      <c r="B9" s="7" t="s">
        <v>9</v>
      </c>
      <c r="C9" s="8" cm="1">
        <f t="array" ref="C9">C13*C14/C15</f>
        <v>12.5</v>
      </c>
      <c r="D9" s="9"/>
      <c r="E9" s="9"/>
      <c r="F9" s="9"/>
      <c r="G9" s="9"/>
    </row>
    <row r="10" spans="1:7" ht="20.100000000000001" customHeight="1">
      <c r="A10" s="6" t="s">
        <v>10</v>
      </c>
      <c r="B10" s="10"/>
      <c r="C10" s="8">
        <v>85.5</v>
      </c>
      <c r="D10" s="9"/>
      <c r="E10" s="9"/>
      <c r="F10" s="9"/>
      <c r="G10" s="9"/>
    </row>
    <row r="11" spans="1:7" ht="20.100000000000001" customHeight="1">
      <c r="A11" s="6" t="s">
        <v>11</v>
      </c>
      <c r="B11" s="10"/>
      <c r="C11" s="9"/>
      <c r="D11" s="9"/>
      <c r="E11" s="9"/>
      <c r="F11" s="9"/>
      <c r="G11" s="9"/>
    </row>
    <row r="12" spans="1:7" ht="20.100000000000001" customHeight="1">
      <c r="A12" s="11"/>
      <c r="B12" s="10"/>
      <c r="C12" s="9"/>
      <c r="D12" s="9"/>
      <c r="E12" s="9"/>
      <c r="F12" s="9"/>
      <c r="G12" s="9"/>
    </row>
    <row r="13" spans="1:7" ht="20.100000000000001" customHeight="1">
      <c r="A13" s="6" t="s">
        <v>12</v>
      </c>
      <c r="B13" s="7" t="s">
        <v>13</v>
      </c>
      <c r="C13" s="8">
        <v>5</v>
      </c>
      <c r="D13" s="9"/>
      <c r="E13" s="9"/>
      <c r="F13" s="9"/>
      <c r="G13" s="9"/>
    </row>
    <row r="14" spans="1:7" ht="20.100000000000001" customHeight="1">
      <c r="A14" s="6" t="s">
        <v>14</v>
      </c>
      <c r="B14" s="7" t="s">
        <v>15</v>
      </c>
      <c r="C14" s="8">
        <v>2</v>
      </c>
      <c r="D14" s="9"/>
      <c r="E14" s="9"/>
      <c r="F14" s="9"/>
      <c r="G14" s="9"/>
    </row>
    <row r="15" spans="1:7" ht="32.1" customHeight="1">
      <c r="A15" s="6" t="s">
        <v>16</v>
      </c>
      <c r="B15" s="7" t="s">
        <v>17</v>
      </c>
      <c r="C15" s="8">
        <v>0.8</v>
      </c>
      <c r="D15" s="9"/>
      <c r="E15" s="9"/>
      <c r="F15" s="9"/>
      <c r="G15" s="9"/>
    </row>
    <row r="16" spans="1:7" ht="20.100000000000001" customHeight="1">
      <c r="A16" s="6" t="s">
        <v>18</v>
      </c>
      <c r="B16" s="7" t="s">
        <v>19</v>
      </c>
      <c r="C16" s="8">
        <v>13.3</v>
      </c>
      <c r="D16" s="9"/>
      <c r="E16" s="9"/>
      <c r="F16" s="9"/>
      <c r="G16" s="9"/>
    </row>
    <row r="17" spans="1:7" ht="20.100000000000001" customHeight="1">
      <c r="A17" s="6" t="s">
        <v>20</v>
      </c>
      <c r="B17" s="7" t="s">
        <v>21</v>
      </c>
      <c r="C17" s="8">
        <v>5</v>
      </c>
      <c r="D17" s="9"/>
      <c r="E17" s="9"/>
      <c r="F17" s="9"/>
      <c r="G17" s="9"/>
    </row>
    <row r="18" spans="1:7" ht="32.1" customHeight="1">
      <c r="A18" s="6" t="s">
        <v>22</v>
      </c>
      <c r="B18" s="7" t="s">
        <v>23</v>
      </c>
      <c r="C18" s="8" cm="1">
        <f t="array" ref="C18">300000</f>
        <v>300000</v>
      </c>
      <c r="D18" s="9"/>
      <c r="E18" s="9"/>
      <c r="F18" s="9"/>
      <c r="G18" s="9"/>
    </row>
    <row r="19" spans="1:7" ht="20.100000000000001" customHeight="1">
      <c r="A19" s="6" t="s">
        <v>24</v>
      </c>
      <c r="B19" s="7" t="s">
        <v>25</v>
      </c>
      <c r="C19" s="8">
        <v>1</v>
      </c>
      <c r="D19" s="9"/>
      <c r="E19" s="9"/>
      <c r="F19" s="9"/>
      <c r="G19" s="9"/>
    </row>
    <row r="20" spans="1:7" ht="32.1" customHeight="1">
      <c r="A20" s="6" t="s">
        <v>26</v>
      </c>
      <c r="B20" s="7" t="s">
        <v>27</v>
      </c>
      <c r="C20" s="8">
        <v>0.3</v>
      </c>
      <c r="D20" s="9"/>
      <c r="E20" s="9"/>
      <c r="F20" s="9"/>
      <c r="G20" s="9"/>
    </row>
    <row r="21" spans="1:7" ht="20.100000000000001" customHeight="1">
      <c r="A21" s="11"/>
      <c r="B21" s="10"/>
      <c r="C21" s="9"/>
      <c r="D21" s="9"/>
      <c r="E21" s="9"/>
      <c r="F21" s="9"/>
      <c r="G21" s="9"/>
    </row>
    <row r="22" spans="1:7" ht="20.100000000000001" customHeight="1">
      <c r="A22" s="11"/>
      <c r="B22" s="10"/>
      <c r="C22" s="9"/>
      <c r="D22" s="9"/>
      <c r="E22" s="9"/>
      <c r="F22" s="9"/>
      <c r="G22" s="9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Zijian Zhu</cp:lastModifiedBy>
  <dcterms:modified xsi:type="dcterms:W3CDTF">2025-07-17T04:25:44Z</dcterms:modified>
</cp:coreProperties>
</file>